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\DT_playground\docs\"/>
    </mc:Choice>
  </mc:AlternateContent>
  <xr:revisionPtr revIDLastSave="0" documentId="13_ncr:1_{07A89A6F-D02D-4FE4-B240-D2003B9B736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FMEA_report" sheetId="5" r:id="rId1"/>
    <sheet name="算法" sheetId="1" r:id="rId2"/>
    <sheet name="UI" sheetId="2" r:id="rId3"/>
    <sheet name="软件后台" sheetId="3" r:id="rId4"/>
    <sheet name="数据库" sheetId="4" r:id="rId5"/>
  </sheets>
  <definedNames>
    <definedName name="_xlnm._FilterDatabase" localSheetId="2" hidden="1">UI!$A$1:$M$16</definedName>
    <definedName name="_xlnm._FilterDatabase" localSheetId="3" hidden="1">软件后台!$A$1:$M$16</definedName>
    <definedName name="_xlnm._FilterDatabase" localSheetId="4" hidden="1">数据库!$A$1:$M$16</definedName>
    <definedName name="_xlnm._FilterDatabase" localSheetId="1" hidden="1">算法!$A$1:$M$17</definedName>
  </definedNames>
  <calcPr calcId="191029"/>
</workbook>
</file>

<file path=xl/calcChain.xml><?xml version="1.0" encoding="utf-8"?>
<calcChain xmlns="http://schemas.openxmlformats.org/spreadsheetml/2006/main">
  <c r="I16" i="4" l="1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<sst xmlns="http://schemas.openxmlformats.org/spreadsheetml/2006/main" count="540" uniqueCount="370">
  <si>
    <t>功能/过程</t>
  </si>
  <si>
    <t>失效模式</t>
  </si>
  <si>
    <t>影响</t>
  </si>
  <si>
    <t>原因</t>
  </si>
  <si>
    <t>现有控制</t>
  </si>
  <si>
    <t>S</t>
  </si>
  <si>
    <t>O</t>
  </si>
  <si>
    <t>D</t>
  </si>
  <si>
    <t>RPN</t>
  </si>
  <si>
    <t>建议措施</t>
  </si>
  <si>
    <t>责任人</t>
  </si>
  <si>
    <t>目标日期</t>
  </si>
  <si>
    <t>状态</t>
  </si>
  <si>
    <t>模型加载与反序列化</t>
  </si>
  <si>
    <t>加载不可信模型触发不安全反序列化（含Lambda/自定义对象）</t>
  </si>
  <si>
    <t>可能导致任意代码执行/数据泄露/系统被控；用户资产与环境受损</t>
  </si>
  <si>
    <t>允许不安全反序列化；缺少可信来源/签名/白名单校验；用户加载来源不明文件</t>
  </si>
  <si>
    <t>异常捕获与弹窗提示（加载失败时）；无可信验证</t>
  </si>
  <si>
    <t>默认关闭不安全反序列化；仅对可信模型启用并提示风险；限制可加载格式优先SavedModel；自定义对象白名单；可选：模型签名/哈希校验</t>
  </si>
  <si>
    <t>待定</t>
  </si>
  <si>
    <t>待处理</t>
  </si>
  <si>
    <t>数据准备/标签管理</t>
  </si>
  <si>
    <t>标签错位、类别映射不一致、训练/验证泄漏、数据分布偏差导致误导性训练成功</t>
  </si>
  <si>
    <t>模型指标看似正常但实际不可用/误判；用户做出错误决策</t>
  </si>
  <si>
    <t>缺少数据质量校验与可复现记录；分割策略不当；重复样本/泄漏未检测</t>
  </si>
  <si>
    <t>训练过程显示loss/accuracy等指标；缺少训练前数据审计</t>
  </si>
  <si>
    <t>增加数据审计（类分布/重复/泄漏/缺失/标签一致性）；固定随机种子与记录数据版本；增加抽样可视化核验；导出数据质量报告</t>
  </si>
  <si>
    <t>算法-预处理一致性（训练/推理）</t>
  </si>
  <si>
    <t>训练与推理使用的预处理参数不一致（采样率/裁剪长度/归一化/静音裁剪/滤波），导致分布漂移</t>
  </si>
  <si>
    <t>线上/实际推理准确率显著下降；用户误判</t>
  </si>
  <si>
    <t>预处理参数分散在节点与配置中；缺少“流水线固化/导出”与版本记录</t>
  </si>
  <si>
    <t>工作流可视化可复用，但缺少强制的参数快照与推理复现检查</t>
  </si>
  <si>
    <t>引入pipeline版本与参数快照（导出JSON）；推理端强制加载同版本参数；在评估阶段加入“推理复现校验”（同一输入多次一致）</t>
  </si>
  <si>
    <t>算法-重采样（ResampleNode）</t>
  </si>
  <si>
    <t>重采样引入伪影/频谱失真或上下游采样率未统一导致特征错误</t>
  </si>
  <si>
    <t>特征偏移，模型学习到错误模式；泛化变差</t>
  </si>
  <si>
    <t>多源数据采样率混杂；未在工作流早期强制统一；滤波/重采样参数缺少校验</t>
  </si>
  <si>
    <t>节点参数限制目标采样率范围；缺少“采样率一致性”硬校验链路</t>
  </si>
  <si>
    <t>在数据源后强制插入采样率检查/统一节点；记录原始sr与目标sr；评估时按sr分组报告指标</t>
  </si>
  <si>
    <t>算法-裁剪/填充（TrimPadNode/AudioSliceNode）</t>
  </si>
  <si>
    <t>裁剪位置策略不当或切片策略造成关键事件丢失/标签噪声（切片不含目标事件）</t>
  </si>
  <si>
    <t>模型学习不到有效特征；训练不收敛或性能虚高/虚低</t>
  </si>
  <si>
    <t>未基于事件对齐；随机切片未做事件覆盖约束；切片长度与hop等不匹配</t>
  </si>
  <si>
    <t>可配置对齐位置与切片参数；缺少切片质量检查（能量/事件覆盖）</t>
  </si>
  <si>
    <t>增加切片质量过滤（能量阈值/最小事件占比）；对关键事件做对齐（如峰值/标注区间）；切片后抽样可视化</t>
  </si>
  <si>
    <t>算法-归一化（NormalizeNode）</t>
  </si>
  <si>
    <t>归一化方法/目标电平选择不当，导致SNR恶化或重要幅度信息被抹平</t>
  </si>
  <si>
    <t>分类边界不稳定；跨设备/录制条件泛化差</t>
  </si>
  <si>
    <t>peak/rms/lufs简化处理差异；目标电平缺少数据驱动校准</t>
  </si>
  <si>
    <t>节点提供方法选择与削波保护</t>
  </si>
  <si>
    <t>按数据集统计分布选择归一化策略；在训练/评估报告记录归一化配置；对不同录制设备分组验证</t>
  </si>
  <si>
    <t>算法-静音裁剪（SilenceTrimNode）</t>
  </si>
  <si>
    <t>静音阈值设置不当导致有效信号被裁掉或噪声保留</t>
  </si>
  <si>
    <t>特征不稳定、模型性能下降；尤其对短事件/弱信号敏感</t>
  </si>
  <si>
    <t>top_db固定；不同数据源静音/噪声底不同；参数未按数据校准</t>
  </si>
  <si>
    <t>参数可配置（top_db/frame/hop）</t>
  </si>
  <si>
    <t>加入自动阈值建议（基于噪声底估计）；裁剪前后能量/时长统计；对短样本设置最小时长保护</t>
  </si>
  <si>
    <t>算法-滤波（FilterNode）</t>
  </si>
  <si>
    <t>滤波频段设置错误或Nyquist边界处理不当，导致关键信息被滤掉/引入振铃</t>
  </si>
  <si>
    <t>特征失真，模型学习错误；性能下降</t>
  </si>
  <si>
    <t>截止频率与采样率不匹配；带通/带阻边界设置反；阶数过高导致数值问题</t>
  </si>
  <si>
    <t>节点对频率做0.99 Nyquist裁剪；异常捕获并报错</t>
  </si>
  <si>
    <t>在UI提示有效频带（&lt;=Nyquist）；对带通/带阻自动排序low/high并告警；滤波前后频谱对比抽检</t>
  </si>
  <si>
    <t>算法-通道处理（ChannelMapper/Merge）</t>
  </si>
  <si>
    <t>通道选择/合并策略导致信息丢失（取最短截断）或通道语义混乱</t>
  </si>
  <si>
    <t>多通道特征被破坏；模型性能不稳定</t>
  </si>
  <si>
    <t>process_channels会截断到最短；映射越界会落到最后通道；合并长度策略不当</t>
  </si>
  <si>
    <t>长度模式可选；越界映射会被修正</t>
  </si>
  <si>
    <t>显式输出“通道数/长度变更”日志与UI提示；对截断行为给告警；对关键任务固定通道规范与校验</t>
  </si>
  <si>
    <t>算法-特征提取（Mel/MFCC/STFT）</t>
  </si>
  <si>
    <t>n_fft/hop/fmax等参数选择不当导致时间/频率分辨率失衡或特征不可比</t>
  </si>
  <si>
    <t>模型无法学习稳定模式；跨数据源泛化差</t>
  </si>
  <si>
    <t>参数未按采样率与目标事件尺度设计；fmax接近Nyquist；不同工作流参数不一致</t>
  </si>
  <si>
    <t>部分参数范围限制；Mel频谱fmax会截到Nyquist/2</t>
  </si>
  <si>
    <t>建立参数推荐表（按sr/目标事件时长）；固定hop与n_fft组合；在预览视图显示分辨率提示（Hz/帧率）</t>
  </si>
  <si>
    <t>算法-特征标度（power_to_db/归一化）</t>
  </si>
  <si>
    <t>dB转换/归一化策略不一致导致特征尺度漂移（尤其FFT db归一化到0）</t>
  </si>
  <si>
    <t>训练/推理不一致；模型输出不稳定</t>
  </si>
  <si>
    <t>不同节点默认行为不同；缺少全局规范（线性/对数/dB基准）</t>
  </si>
  <si>
    <t>节点参数可选；但缺少一致性检查</t>
  </si>
  <si>
    <t>统一特征标度规范（例如全部dB且同ref）；在工作流验证阶段检查关键节点参数一致；导出pipeline时写入标度策略</t>
  </si>
  <si>
    <t>算法-增强（AddNoise/RandomAugment）</t>
  </si>
  <si>
    <t>增强过强或与真实场景不匹配，模型学到伪特征；或增强引入标签噪声</t>
  </si>
  <si>
    <t>离线指标可能上升但真实场景下降；鲁棒性不确定</t>
  </si>
  <si>
    <t>SNR范围/概率/参数未校准；随机增强未分场景；缺少增强前后分布对比</t>
  </si>
  <si>
    <t>参数范围限制与削波保护；无自动校准</t>
  </si>
  <si>
    <t>按真实噪声/工况统计设置增强分布；对增强强度做分层实验；记录增强随机种子与参数以便复现</t>
  </si>
  <si>
    <t>算法-增强（TimeStretch/PitchShift）</t>
  </si>
  <si>
    <t>时间拉伸/音高偏移导致类别语义变化（对某些故障/设备音调敏感），引入错误监督</t>
  </si>
  <si>
    <t>模型决策边界被污染，性能下降</t>
  </si>
  <si>
    <t>对任务语义缺少约束；增强范围默认较宽；未做任务可行性验证</t>
  </si>
  <si>
    <t>增强范围可配（rate/semitones）</t>
  </si>
  <si>
    <t>对每类任务定义可接受增强范围；做消融实验（无/仅噪声/仅拉伸等）；对敏感类禁用特定增强</t>
  </si>
  <si>
    <t>算法-可复现性（随机增强/切片/训练）</t>
  </si>
  <si>
    <t>随机性未控（np.random/训练初始化）导致结果不可复现、指标波动大</t>
  </si>
  <si>
    <t>难以对比实验、难定位回归；用户信任下降</t>
  </si>
  <si>
    <t>随机种子未统一管理；工作流执行多线程/多次运行</t>
  </si>
  <si>
    <t>无统一seed机制</t>
  </si>
  <si>
    <t>提供全局seed配置并传递到各节点；训练/增强/切片记录seed；导出实验记录（参数+版本+seed+数据清单）</t>
  </si>
  <si>
    <t>算法-数据格式转换（NCHW↔NHWC）</t>
  </si>
  <si>
    <t>启发式判断错误导致维度转置不正确，训练/评估在错误形状上运行但不一定报错</t>
  </si>
  <si>
    <t>模型学习失败或学到无意义模式；指标异常且难排查</t>
  </si>
  <si>
    <t>channels_last转换依赖shape大小关系；不同特征形状可能误判</t>
  </si>
  <si>
    <t>仅在Keras模型时转换；无强校验（比如与model.input_shape一致）</t>
  </si>
  <si>
    <t>在fit/evaluate前用model.input_shape做强一致校验；对可疑转置输出告警；在预览/训练日志输出最终输入shape</t>
  </si>
  <si>
    <t>算法-损失函数自动判别（TrainerNode._get_loss）</t>
  </si>
  <si>
    <t>auto loss 判别错误（one-hot vs sparse、回归 vs 分类）导致训练目标不匹配</t>
  </si>
  <si>
    <t>训练不收敛或指标虚假；用户误解模型质量</t>
  </si>
  <si>
    <t>启发式基于y形状/范围；边界情况多（多维标签/二分类softmax等）</t>
  </si>
  <si>
    <t>允许手动选择loss；auto为默认</t>
  </si>
  <si>
    <t>训练前检查y的取值与编码方式并提示推荐loss；当auto判别时写入日志；提供标签格式转换工具（sparse↔onehot）</t>
  </si>
  <si>
    <t>UI-启动与渲染</t>
  </si>
  <si>
    <t>启动阶段阻塞UI线程（导入/初始化过重），窗口长时间白屏/无响应</t>
  </si>
  <si>
    <t>用户认为程序卡死，强制关闭导致数据丢失</t>
  </si>
  <si>
    <t>主线程执行重任务；缺少延迟加载与启动进度提示</t>
  </si>
  <si>
    <t>部分工作放在后台线程（工作流执行/训练），但启动仍可能重</t>
  </si>
  <si>
    <t>启动阶段延迟加载模块；显示启动进度/占位UI；将重初始化放入QThread并回传状态</t>
  </si>
  <si>
    <t>UI-视图切换（StackedWidget）</t>
  </si>
  <si>
    <t>视图切换状态不同步（按钮/当前视图/选中节点不一致）</t>
  </si>
  <si>
    <t>用户误操作或误判当前操作对象</t>
  </si>
  <si>
    <t>多处同时控制视图切换（菜单/按钮/控制器），状态机不一致</t>
  </si>
  <si>
    <t>按钮组互斥；部分地方手动setChecked</t>
  </si>
  <si>
    <t>统一视图切换入口（单一source of truth）；增加状态断言与日志；切换时同步selected_node与预览刷新</t>
  </si>
  <si>
    <t>UI-节点编辑器交互</t>
  </si>
  <si>
    <t>拖拽/连线/选择在高DPI或缩放下偏移，导致连线错误</t>
  </si>
  <si>
    <t>工作流结构错误，执行失败或输出异常</t>
  </si>
  <si>
    <t>坐标系换算与缩放策略不一致；高DPI处理差异</t>
  </si>
  <si>
    <t>启用高DPI rounding policy；部分组件自带处理</t>
  </si>
  <si>
    <t>统一坐标变换；在不同缩放率下回归测试；对连接创建做二次校验（类型/端口）</t>
  </si>
  <si>
    <t>UI-参数面板编辑</t>
  </si>
  <si>
    <t>参数输入缺少校验（范围/类型），导致运行时节点报错</t>
  </si>
  <si>
    <t>工作流运行失败；用户反复试错</t>
  </si>
  <si>
    <t>输入控件未强制约束；缺少即时校验与提示</t>
  </si>
  <si>
    <t>参数定义有min/max/choices，但UI层未必全部强制</t>
  </si>
  <si>
    <t>参数面板实时校验并高亮错误；保存前校验；对危险参数给推荐值与解释</t>
  </si>
  <si>
    <t>UI-预览视图（波形/频谱）</t>
  </si>
  <si>
    <t>大数据绘制导致卡顿/内存飙升</t>
  </si>
  <si>
    <t>UI不响应，影响使用</t>
  </si>
  <si>
    <t>一次性绘制全量数据；缺少下采样/分块渲染</t>
  </si>
  <si>
    <t>pyqtgraph配置关闭OpenGL；但仍可能重</t>
  </si>
  <si>
    <t>波形下采样与视窗渲染；限制最大点数；提供“快速/高质量”模式切换</t>
  </si>
  <si>
    <t>UI-训练视图刷新</t>
  </si>
  <si>
    <t>训练进度刷新过频导致卡顿或消息堆积</t>
  </si>
  <si>
    <t>界面延迟、指标显示滞后</t>
  </si>
  <si>
    <t>每batch/频繁epoch事件刷新；未节流</t>
  </si>
  <si>
    <t>UI有chart_update_interval配置，但不一定全链路生效</t>
  </si>
  <si>
    <t>对进度信号节流/合并；仅固定间隔刷新曲线；后台缓存最新指标</t>
  </si>
  <si>
    <t>UI-错误提示与可理解性</t>
  </si>
  <si>
    <t>错误弹窗信息过于技术化或缺少上下文（节点名/参数/建议）</t>
  </si>
  <si>
    <t>用户无法自助修复，效率低</t>
  </si>
  <si>
    <t>异常直接str(e)；未分层包装错误</t>
  </si>
  <si>
    <t>部分节点会设置error_message；工作流会汇总validate错误</t>
  </si>
  <si>
    <t>标准化错误消息模板（发生点/原因/修复建议）；链接到相关节点并高亮；保留详情到日志</t>
  </si>
  <si>
    <t>UI-文件对话框与路径</t>
  </si>
  <si>
    <t>默认目录/过滤器不合理导致用户选错文件或找不到文件</t>
  </si>
  <si>
    <t>操作失败、体验差</t>
  </si>
  <si>
    <t>default_directory配置不一致；过滤器不覆盖实际扩展名</t>
  </si>
  <si>
    <t>有file_filter，但仍可能不全</t>
  </si>
  <si>
    <t>统一默认目录（models/workflows/audio_data）；增强过滤器；记忆上次目录</t>
  </si>
  <si>
    <t>UI-主题与可读性</t>
  </si>
  <si>
    <t>深色主题下对比度不足/字体不兼容导致文字不可读或布局溢出</t>
  </si>
  <si>
    <t>可用性下降</t>
  </si>
  <si>
    <t>硬编码颜色；不同Windows字体渲染差异</t>
  </si>
  <si>
    <t>设置默认字体Microsoft YaHei；主题QSS存在</t>
  </si>
  <si>
    <t>用统一调色板与对比度检查；不同DPI/字体回归；对长文本做省略与tooltip</t>
  </si>
  <si>
    <t>UI-国际化/编码</t>
  </si>
  <si>
    <t>中文路径/文本在日志或导出中乱码</t>
  </si>
  <si>
    <t>用户无法定位文件/报告不可用</t>
  </si>
  <si>
    <t>控制台编码与文件编码不一致；第三方库输出未统一</t>
  </si>
  <si>
    <t>日志文件utf-8；但控制台可能gbk</t>
  </si>
  <si>
    <t>统一日志/导出为utf-8；必要时对控制台输出做编码处理；在UI显示路径优先不依赖控制台</t>
  </si>
  <si>
    <t>UI-断点与继续执行</t>
  </si>
  <si>
    <t>断点触发后继续按钮状态不正确/继续不生效</t>
  </si>
  <si>
    <t>工作流卡住，用户只能重启</t>
  </si>
  <si>
    <t>断点状态由引擎与UI多处维护；同步不一致</t>
  </si>
  <si>
    <t>引擎有breakpoint_waiting标志；UI显示断点模式</t>
  </si>
  <si>
    <t>断点状态机统一；继续/停止按钮互斥；断点处显示当前节点与输出摘要</t>
  </si>
  <si>
    <t>UI-资源监控显示</t>
  </si>
  <si>
    <t>psutil缺失或权限问题导致资源状态显示异常但用户不知原因</t>
  </si>
  <si>
    <t>误判资源情况</t>
  </si>
  <si>
    <t>ImportError被pass；无提示</t>
  </si>
  <si>
    <t>try/except忽略</t>
  </si>
  <si>
    <t>缺依赖时在状态栏提示“未安装psutil”；提供一键安装或说明</t>
  </si>
  <si>
    <t>UI-模型/工作流导出对话框</t>
  </si>
  <si>
    <t>导出参数缺少校验导致导出文件不可用（路径/覆盖/格式）</t>
  </si>
  <si>
    <t>用户以为导出成功但后续无法加载</t>
  </si>
  <si>
    <t>缺少导出后验证（文件存在/可加载）</t>
  </si>
  <si>
    <t>部分地方会弹窗提示；缺少回读校验</t>
  </si>
  <si>
    <t>导出后立即做可加载性校验；覆盖前明确提示；导出结果写入最近文件</t>
  </si>
  <si>
    <t>UI-快捷键冲突</t>
  </si>
  <si>
    <t>快捷键与输入控件/系统快捷键冲突导致误触发操作</t>
  </si>
  <si>
    <t>数据丢失或流程中断</t>
  </si>
  <si>
    <t>未在焦点控件下禁用某些快捷键</t>
  </si>
  <si>
    <t>部分动作绑定快捷键</t>
  </si>
  <si>
    <t>在编辑控件获得焦点时禁用全局快捷键；提供快捷键设置页；关键操作增加确认</t>
  </si>
  <si>
    <t>UI-长任务取消</t>
  </si>
  <si>
    <t>长任务（加载大模型/批量音频）缺少取消/进度反馈</t>
  </si>
  <si>
    <t>用户无控制感，可能强退</t>
  </si>
  <si>
    <t>同步执行；未提供取消token</t>
  </si>
  <si>
    <t>训练有进度；其它路径不一定有</t>
  </si>
  <si>
    <t>为加载/批处理提供进度与取消；后台线程执行并可中断；状态栏持续提示</t>
  </si>
  <si>
    <t>后台-工作流引擎执行顺序</t>
  </si>
  <si>
    <t>存在环/不可达时仍继续执行，导致节点漏跑</t>
  </si>
  <si>
    <t>输出不完整且难以发现</t>
  </si>
  <si>
    <t>has_cycle仅warning；未强制失败</t>
  </si>
  <si>
    <t>workflow.validate做端口校验</t>
  </si>
  <si>
    <t>检测环则失败并提示环路径；执行后输出未执行节点清单</t>
  </si>
  <si>
    <t>后台-线程与信号</t>
  </si>
  <si>
    <t>跨线程更新UI或对象生命周期问题导致崩溃/随机错误</t>
  </si>
  <si>
    <t>不稳定、难复现</t>
  </si>
  <si>
    <t>QThread/信号槽连接不当；对象在worker运行时被销毁</t>
  </si>
  <si>
    <t>大部分通过Qt信号回传；但仍可能遗漏</t>
  </si>
  <si>
    <t>明确线程边界：仅主线程触UI；worker持有弱引用/生命周期管理；增加线程安全断言</t>
  </si>
  <si>
    <t>后台-全局异常处理</t>
  </si>
  <si>
    <t>未捕获异常写日志但未给出可操作提示/未能优雅降级</t>
  </si>
  <si>
    <t>用户只能重启；可能丢数据</t>
  </si>
  <si>
    <t>exception_hook仅记录；缺少恢复策略</t>
  </si>
  <si>
    <t>日志+sys.__excepthook__</t>
  </si>
  <si>
    <t>在UI提示崩溃摘要与恢复建议；关键状态自动保存；对可恢复异常做降级</t>
  </si>
  <si>
    <t>后台-日志增长</t>
  </si>
  <si>
    <t>日志无限增长占满磁盘</t>
  </si>
  <si>
    <t>程序异常、系统空间不足</t>
  </si>
  <si>
    <t>每次启动新log文件但无轮转/清理</t>
  </si>
  <si>
    <t>无</t>
  </si>
  <si>
    <t>日志轮转与保留策略（按大小/天数）；提供一键清理旧日志</t>
  </si>
  <si>
    <t>后台-配置文件读写</t>
  </si>
  <si>
    <t>保存失败不提示，配置丢失</t>
  </si>
  <si>
    <t>用户反复设置</t>
  </si>
  <si>
    <t>保存失败仅print；无原子写</t>
  </si>
  <si>
    <t>加载失败回退默认</t>
  </si>
  <si>
    <t>原子写+备份；失败弹窗/状态提示；配置版本迁移</t>
  </si>
  <si>
    <t>后台-模型加载兼容</t>
  </si>
  <si>
    <t>.keras损坏或包含Lambda导致无法加载，用户无替代路径</t>
  </si>
  <si>
    <t>无法继续训练/推理</t>
  </si>
  <si>
    <t>模型文件不兼容；依赖版本变化</t>
  </si>
  <si>
    <t>尝试从.model.json重建并覆盖保存</t>
  </si>
  <si>
    <t>加载前做版本检查；提供“只读加载/安全模式”；保存时附带元数据（版本/依赖）</t>
  </si>
  <si>
    <t>后台-数据类型系统（Port DataType）</t>
  </si>
  <si>
    <t>端口类型过宽（ANY）导致错误连接在运行期才暴露</t>
  </si>
  <si>
    <t>运行失败或输出异常</t>
  </si>
  <si>
    <t>类型检查不足；为兼容性放宽</t>
  </si>
  <si>
    <t>connect时做can_connect_to；但ANY会放行</t>
  </si>
  <si>
    <t>减少ANY使用；对关键端口引入更细类型；在validate阶段做更强的数据形状检查</t>
  </si>
  <si>
    <t>后台-工作流序列化/反序列化</t>
  </si>
  <si>
    <t>未知节点类型加载失败导致工作流丢节点/行为改变</t>
  </si>
  <si>
    <t>历史工作流不可复现</t>
  </si>
  <si>
    <t>节点注册变化；缺少兼容层</t>
  </si>
  <si>
    <t>warning并跳过未知节点</t>
  </si>
  <si>
    <t>为节点类型引入版本与迁移；未知节点用占位节点保留信息；导入时给出清晰报告</t>
  </si>
  <si>
    <t>后台-文件路径与权限</t>
  </si>
  <si>
    <t>在受限目录写入失败（logs/models/workflows）导致功能不可用</t>
  </si>
  <si>
    <t>保存失败/数据丢失</t>
  </si>
  <si>
    <t>权限不足；路径包含特殊字符</t>
  </si>
  <si>
    <t>部分地方os.makedirs；失败未统一提示</t>
  </si>
  <si>
    <t>写入前做权限/空间检查；失败弹窗并提供替代路径；统一路径管理</t>
  </si>
  <si>
    <t>后台-训练任务资源回收</t>
  </si>
  <si>
    <t>训练结束后GPU/内存未释放，后续任务失败</t>
  </si>
  <si>
    <t>需要重启应用</t>
  </si>
  <si>
    <t>TF图/会话缓存；对象引用未释放</t>
  </si>
  <si>
    <t>无明确清理</t>
  </si>
  <si>
    <t>训练完成后清理模型/图（可选tf.keras.backend.clear_session）；分进程训练隔离</t>
  </si>
  <si>
    <t>后台-事件总线风暴</t>
  </si>
  <si>
    <t>大量事件（progress/metrics）导致队列堆积与延迟</t>
  </si>
  <si>
    <t>状态滞后甚至卡顿</t>
  </si>
  <si>
    <t>事件未节流；大字典频繁传输</t>
  </si>
  <si>
    <t>无全局节流</t>
  </si>
  <si>
    <t>对高频事件节流；只发送增量/摘要；限制payload大小</t>
  </si>
  <si>
    <t>后台-断点阻塞执行线程</t>
  </si>
  <si>
    <t>断点等待采用sleep轮询阻塞worker，导致停止/退出响应慢</t>
  </si>
  <si>
    <t>用户体验差、可能僵死</t>
  </si>
  <si>
    <t>while sleep等待继续；缺少条件变量/中断机制</t>
  </si>
  <si>
    <t>stop_requested可退出</t>
  </si>
  <si>
    <t>用Qt事件/条件变量替代轮询；断点等待可超时/可强制跳过</t>
  </si>
  <si>
    <t>后台-依赖缺失处理</t>
  </si>
  <si>
    <t>librosa/psutil等缺失时部分功能静默失败</t>
  </si>
  <si>
    <t>用户不知如何修复</t>
  </si>
  <si>
    <t>ImportError被忽略或仅print</t>
  </si>
  <si>
    <t>少量warning日志</t>
  </si>
  <si>
    <t>统一依赖检查与提示页面；启动时自检；给出安装命令与版本</t>
  </si>
  <si>
    <t>后台-数据校验不足</t>
  </si>
  <si>
    <t>进入训练/评估前未检查shape与label一致性导致运行期崩溃</t>
  </si>
  <si>
    <t>训练失败且难定位</t>
  </si>
  <si>
    <t>输入ANY；缺少统一校验器</t>
  </si>
  <si>
    <t>节点validate多为非空/类型检查</t>
  </si>
  <si>
    <t>训练/评估前做统一数据校验（shape/dtype/范围/类别数）；错误定位到上游节点</t>
  </si>
  <si>
    <t>后台-最近文件维护</t>
  </si>
  <si>
    <t>最近文件包含已不存在路径或重复项导致打开失败</t>
  </si>
  <si>
    <t>体验差</t>
  </si>
  <si>
    <t>缺少清理与去重策略一致性</t>
  </si>
  <si>
    <t>打开时检查存在性并提示</t>
  </si>
  <si>
    <t>启动时清理不存在路径；保存时去重并限制数量；记录失败原因</t>
  </si>
  <si>
    <t>数据库-选型与存储模型</t>
  </si>
  <si>
    <t>用文件散落存储（json/keras/log）导致元数据不一致、难检索</t>
  </si>
  <si>
    <t>数据追溯困难、重复劳动</t>
  </si>
  <si>
    <t>缺少统一元数据存储（数据集/实验/模型版本）</t>
  </si>
  <si>
    <t>部分通过recent/files记录；工作流json可保存</t>
  </si>
  <si>
    <t>引入SQLite/轻量DB存储元数据（数据集、实验、模型、指标）；统一ID与引用关系</t>
  </si>
  <si>
    <t>数据库-并发访问</t>
  </si>
  <si>
    <t>多线程同时写DB/文件导致锁冲突或数据损坏</t>
  </si>
  <si>
    <t>记录丢失、崩溃</t>
  </si>
  <si>
    <t>后台线程训练/执行同时写入；无事务/锁策略</t>
  </si>
  <si>
    <t>目前多数写文件为简单写入</t>
  </si>
  <si>
    <t>使用事务与单写线程队列；对SQLite启用WAL；文件写入原子替换</t>
  </si>
  <si>
    <t>数据库-数据完整性</t>
  </si>
  <si>
    <t>外键/引用缺失导致孤儿记录（模型无对应数据集/工作流）</t>
  </si>
  <si>
    <t>审计不可用，误用错误模型</t>
  </si>
  <si>
    <t>未建立约束；删除不级联</t>
  </si>
  <si>
    <t>建立外键与约束；删除策略（软删/级联）；定期一致性检查任务</t>
  </si>
  <si>
    <t>数据库-迁移与版本</t>
  </si>
  <si>
    <t>schema升级后旧数据不可读</t>
  </si>
  <si>
    <t>历史实验丢失</t>
  </si>
  <si>
    <t>无迁移机制</t>
  </si>
  <si>
    <t>引入迁移工具（版本号+迁移脚本）；升级前备份；提供回滚方案</t>
  </si>
  <si>
    <t>数据库-备份恢复</t>
  </si>
  <si>
    <t>无备份导致误删/损坏不可恢复</t>
  </si>
  <si>
    <t>数据资产损失</t>
  </si>
  <si>
    <t>缺少自动备份</t>
  </si>
  <si>
    <t>自动备份（定时/每次重要操作前）；提供一键恢复；备份校验</t>
  </si>
  <si>
    <t>数据库-性能与索引</t>
  </si>
  <si>
    <t>查询慢（数据集/实验多时）导致UI卡顿</t>
  </si>
  <si>
    <t>缺少索引；查询在UI线程执行</t>
  </si>
  <si>
    <t>为常用字段建索引；分页查询；所有DB IO放后台线程</t>
  </si>
  <si>
    <t>数据库-安全（注入/路径）</t>
  </si>
  <si>
    <t>拼接SQL/路径导致注入或路径遍历（如未来支持导入SQL/脚本）</t>
  </si>
  <si>
    <t>数据泄露或破坏</t>
  </si>
  <si>
    <t>未参数化；信任外部输入</t>
  </si>
  <si>
    <t>所有查询参数化；对路径白名单与规范化；限制导入脚本能力</t>
  </si>
  <si>
    <t>数据库-隐私与访问控制</t>
  </si>
  <si>
    <t>敏感数据（音频/标签/用户信息）未做访问控制与脱敏</t>
  </si>
  <si>
    <t>合规风险</t>
  </si>
  <si>
    <t>单机应用默认全权限；缺少角色/权限模型</t>
  </si>
  <si>
    <t>定义敏感字段与脱敏策略；最小权限；审计日志；可选加密存储</t>
  </si>
  <si>
    <t>数据库-实验追踪</t>
  </si>
  <si>
    <t>训练参数/数据版本/随机种子未记录，实验不可复现</t>
  </si>
  <si>
    <t>研发效率低</t>
  </si>
  <si>
    <t>没有实验表/记录机制</t>
  </si>
  <si>
    <t>部分日志记录但不可结构化查询</t>
  </si>
  <si>
    <t>建立experiment表记录：工作流版本、参数快照、数据清单hash、依赖版本、指标；支持导出报告</t>
  </si>
  <si>
    <t>数据库-模型注册与版本</t>
  </si>
  <si>
    <t>模型文件与元数据脱节，误用旧模型/错误标签映射</t>
  </si>
  <si>
    <t>推理结果错误</t>
  </si>
  <si>
    <t>缺少model registry</t>
  </si>
  <si>
    <t>文件名约定；recent files</t>
  </si>
  <si>
    <t>建立模型注册表：版本、训练数据、指标、阈值、标签映射；加载时校验一致性</t>
  </si>
  <si>
    <t>数据库-大对象存储</t>
  </si>
  <si>
    <t>将大音频/模型直接塞进DB导致膨胀与性能问题</t>
  </si>
  <si>
    <t>存储爆炸、慢</t>
  </si>
  <si>
    <t>未区分BLOB与文件引用</t>
  </si>
  <si>
    <t>DB只存元数据+文件hash/路径；大对象走文件存储并做一致性校验（hash）</t>
  </si>
  <si>
    <t>数据库-数据集索引</t>
  </si>
  <si>
    <t>数据集索引不更新（文件新增/删除）导致训练用错数据</t>
  </si>
  <si>
    <t>训练结果不可解释</t>
  </si>
  <si>
    <t>缺少扫描与增量更新机制</t>
  </si>
  <si>
    <t>数据集扫描任务（增量）；文件变更检测；训练前校验数据集快照</t>
  </si>
  <si>
    <t>数据库-崩溃一致性</t>
  </si>
  <si>
    <t>写入过程中崩溃导致半写入状态</t>
  </si>
  <si>
    <t>DB损坏/记录不完整</t>
  </si>
  <si>
    <t>无事务或事务粒度不当</t>
  </si>
  <si>
    <t>事务包裹关键写入；写前日志/双写校验；启动时一致性修复</t>
  </si>
  <si>
    <t>数据库-导入导出</t>
  </si>
  <si>
    <t>导入导出缺少校验导致脏数据进入系统</t>
  </si>
  <si>
    <t>训练/评估不可用</t>
  </si>
  <si>
    <t>未做schema校验与字段约束</t>
  </si>
  <si>
    <t>导入时做schema校验、类型校验、唯一约束；导出附带版本与校验hash</t>
  </si>
  <si>
    <t>数据库-审计日志</t>
  </si>
  <si>
    <t>关键操作（删除/覆盖/导出）无审计记录</t>
  </si>
  <si>
    <t>无法追溯问题</t>
  </si>
  <si>
    <t>缺少审计表</t>
  </si>
  <si>
    <t>仅文件日志</t>
  </si>
  <si>
    <t>建立审计表记录操作者/时间/对象/变更；UI提供查看与导出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</si>
</sst>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14B8-3133-45E7-A949-D1E445F33A18}">
  <dimension ref="A1"/>
  <sheetViews>
    <sheetView tabSelected="1" workbookViewId="0">
      <selection activeCell="D35" sqref="D35"/>
    </sheetView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workbookViewId="0">
      <pane ySplit="1" topLeftCell="A2" activePane="bottomLeft" state="frozen"/>
      <selection pane="bottomLeft" activeCell="E14" sqref="E8:E14"/>
    </sheetView>
  </sheetViews>
  <sheetFormatPr defaultRowHeight="13.5" x14ac:dyDescent="0.15"/>
  <cols>
    <col min="1" max="1" width="38" customWidth="1"/>
    <col min="2" max="2" width="53" customWidth="1"/>
    <col min="3" max="3" width="32" customWidth="1"/>
    <col min="4" max="4" width="45" customWidth="1"/>
    <col min="5" max="5" width="43" customWidth="1"/>
    <col min="6" max="8" width="10" customWidth="1"/>
    <col min="9" max="9" width="14" customWidth="1"/>
    <col min="10" max="10" width="60" customWidth="1"/>
    <col min="11" max="13" width="10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" x14ac:dyDescent="0.1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10</v>
      </c>
      <c r="G2" s="2">
        <v>4</v>
      </c>
      <c r="H2" s="2">
        <v>8</v>
      </c>
      <c r="I2" s="2">
        <f t="shared" ref="I2:I17" si="0">F2*G2*H2</f>
        <v>320</v>
      </c>
      <c r="J2" s="2" t="s">
        <v>18</v>
      </c>
      <c r="K2" s="2" t="s">
        <v>19</v>
      </c>
      <c r="L2" s="2"/>
      <c r="M2" s="2" t="s">
        <v>20</v>
      </c>
    </row>
    <row r="3" spans="1:13" ht="27" x14ac:dyDescent="0.1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8</v>
      </c>
      <c r="G3" s="2">
        <v>5</v>
      </c>
      <c r="H3" s="2">
        <v>7</v>
      </c>
      <c r="I3" s="2">
        <f t="shared" si="0"/>
        <v>280</v>
      </c>
      <c r="J3" s="2" t="s">
        <v>26</v>
      </c>
      <c r="K3" s="2" t="s">
        <v>19</v>
      </c>
      <c r="L3" s="2"/>
      <c r="M3" s="2" t="s">
        <v>20</v>
      </c>
    </row>
    <row r="4" spans="1:13" ht="27" x14ac:dyDescent="0.1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>
        <v>8</v>
      </c>
      <c r="G4" s="2">
        <v>5</v>
      </c>
      <c r="H4" s="2">
        <v>7</v>
      </c>
      <c r="I4" s="2">
        <f t="shared" si="0"/>
        <v>280</v>
      </c>
      <c r="J4" s="2" t="s">
        <v>32</v>
      </c>
      <c r="K4" s="2" t="s">
        <v>19</v>
      </c>
      <c r="L4" s="2"/>
      <c r="M4" s="2" t="s">
        <v>20</v>
      </c>
    </row>
    <row r="5" spans="1:13" ht="27" x14ac:dyDescent="0.1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>
        <v>6</v>
      </c>
      <c r="G5" s="2">
        <v>6</v>
      </c>
      <c r="H5" s="2">
        <v>6</v>
      </c>
      <c r="I5" s="2">
        <f t="shared" si="0"/>
        <v>216</v>
      </c>
      <c r="J5" s="2" t="s">
        <v>38</v>
      </c>
      <c r="K5" s="2" t="s">
        <v>19</v>
      </c>
      <c r="L5" s="2"/>
      <c r="M5" s="2" t="s">
        <v>20</v>
      </c>
    </row>
    <row r="6" spans="1:13" ht="27" x14ac:dyDescent="0.1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>
        <v>7</v>
      </c>
      <c r="G6" s="2">
        <v>6</v>
      </c>
      <c r="H6" s="2">
        <v>7</v>
      </c>
      <c r="I6" s="2">
        <f t="shared" si="0"/>
        <v>294</v>
      </c>
      <c r="J6" s="2" t="s">
        <v>44</v>
      </c>
      <c r="K6" s="2" t="s">
        <v>19</v>
      </c>
      <c r="L6" s="2"/>
      <c r="M6" s="2" t="s">
        <v>20</v>
      </c>
    </row>
    <row r="7" spans="1:13" ht="27" x14ac:dyDescent="0.1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>
        <v>6</v>
      </c>
      <c r="G7" s="2">
        <v>5</v>
      </c>
      <c r="H7" s="2">
        <v>6</v>
      </c>
      <c r="I7" s="2">
        <f t="shared" si="0"/>
        <v>180</v>
      </c>
      <c r="J7" s="2" t="s">
        <v>50</v>
      </c>
      <c r="K7" s="2" t="s">
        <v>19</v>
      </c>
      <c r="L7" s="2"/>
      <c r="M7" s="2" t="s">
        <v>20</v>
      </c>
    </row>
    <row r="8" spans="1:13" ht="27" x14ac:dyDescent="0.1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>
        <v>6</v>
      </c>
      <c r="G8" s="2">
        <v>6</v>
      </c>
      <c r="H8" s="2">
        <v>6</v>
      </c>
      <c r="I8" s="2">
        <f t="shared" si="0"/>
        <v>216</v>
      </c>
      <c r="J8" s="2" t="s">
        <v>56</v>
      </c>
      <c r="K8" s="2" t="s">
        <v>19</v>
      </c>
      <c r="L8" s="2"/>
      <c r="M8" s="2" t="s">
        <v>20</v>
      </c>
    </row>
    <row r="9" spans="1:13" ht="27" x14ac:dyDescent="0.15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>
        <v>6</v>
      </c>
      <c r="G9" s="2">
        <v>5</v>
      </c>
      <c r="H9" s="2">
        <v>6</v>
      </c>
      <c r="I9" s="2">
        <f t="shared" si="0"/>
        <v>180</v>
      </c>
      <c r="J9" s="2" t="s">
        <v>62</v>
      </c>
      <c r="K9" s="2" t="s">
        <v>19</v>
      </c>
      <c r="L9" s="2"/>
      <c r="M9" s="2" t="s">
        <v>20</v>
      </c>
    </row>
    <row r="10" spans="1:13" ht="27" x14ac:dyDescent="0.15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>
        <v>6</v>
      </c>
      <c r="G10" s="2">
        <v>5</v>
      </c>
      <c r="H10" s="2">
        <v>7</v>
      </c>
      <c r="I10" s="2">
        <f t="shared" si="0"/>
        <v>210</v>
      </c>
      <c r="J10" s="2" t="s">
        <v>68</v>
      </c>
      <c r="K10" s="2" t="s">
        <v>19</v>
      </c>
      <c r="L10" s="2"/>
      <c r="M10" s="2" t="s">
        <v>20</v>
      </c>
    </row>
    <row r="11" spans="1:13" ht="27" x14ac:dyDescent="0.15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>
        <v>7</v>
      </c>
      <c r="G11" s="2">
        <v>5</v>
      </c>
      <c r="H11" s="2">
        <v>6</v>
      </c>
      <c r="I11" s="2">
        <f t="shared" si="0"/>
        <v>210</v>
      </c>
      <c r="J11" s="2" t="s">
        <v>74</v>
      </c>
      <c r="K11" s="2" t="s">
        <v>19</v>
      </c>
      <c r="L11" s="2"/>
      <c r="M11" s="2" t="s">
        <v>20</v>
      </c>
    </row>
    <row r="12" spans="1:13" ht="27" x14ac:dyDescent="0.15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>
        <v>7</v>
      </c>
      <c r="G12" s="2">
        <v>5</v>
      </c>
      <c r="H12" s="2">
        <v>7</v>
      </c>
      <c r="I12" s="2">
        <f t="shared" si="0"/>
        <v>245</v>
      </c>
      <c r="J12" s="2" t="s">
        <v>80</v>
      </c>
      <c r="K12" s="2" t="s">
        <v>19</v>
      </c>
      <c r="L12" s="2"/>
      <c r="M12" s="2" t="s">
        <v>20</v>
      </c>
    </row>
    <row r="13" spans="1:13" ht="27" x14ac:dyDescent="0.15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85</v>
      </c>
      <c r="F13" s="2">
        <v>7</v>
      </c>
      <c r="G13" s="2">
        <v>6</v>
      </c>
      <c r="H13" s="2">
        <v>7</v>
      </c>
      <c r="I13" s="2">
        <f t="shared" si="0"/>
        <v>294</v>
      </c>
      <c r="J13" s="2" t="s">
        <v>86</v>
      </c>
      <c r="K13" s="2" t="s">
        <v>19</v>
      </c>
      <c r="L13" s="2"/>
      <c r="M13" s="2" t="s">
        <v>20</v>
      </c>
    </row>
    <row r="14" spans="1:13" ht="27" x14ac:dyDescent="0.15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2">
        <v>6</v>
      </c>
      <c r="G14" s="2">
        <v>5</v>
      </c>
      <c r="H14" s="2">
        <v>7</v>
      </c>
      <c r="I14" s="2">
        <f t="shared" si="0"/>
        <v>210</v>
      </c>
      <c r="J14" s="2" t="s">
        <v>92</v>
      </c>
      <c r="K14" s="2" t="s">
        <v>19</v>
      </c>
      <c r="L14" s="2"/>
      <c r="M14" s="2" t="s">
        <v>20</v>
      </c>
    </row>
    <row r="15" spans="1:13" ht="27" x14ac:dyDescent="0.15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2">
        <v>5</v>
      </c>
      <c r="G15" s="2">
        <v>7</v>
      </c>
      <c r="H15" s="2">
        <v>5</v>
      </c>
      <c r="I15" s="2">
        <f t="shared" si="0"/>
        <v>175</v>
      </c>
      <c r="J15" s="2" t="s">
        <v>98</v>
      </c>
      <c r="K15" s="2" t="s">
        <v>19</v>
      </c>
      <c r="L15" s="2"/>
      <c r="M15" s="2" t="s">
        <v>20</v>
      </c>
    </row>
    <row r="16" spans="1:13" ht="27" x14ac:dyDescent="0.15">
      <c r="A16" s="2" t="s">
        <v>99</v>
      </c>
      <c r="B16" s="2" t="s">
        <v>100</v>
      </c>
      <c r="C16" s="2" t="s">
        <v>101</v>
      </c>
      <c r="D16" s="2" t="s">
        <v>102</v>
      </c>
      <c r="E16" s="2" t="s">
        <v>103</v>
      </c>
      <c r="F16" s="2">
        <v>8</v>
      </c>
      <c r="G16" s="2">
        <v>4</v>
      </c>
      <c r="H16" s="2">
        <v>8</v>
      </c>
      <c r="I16" s="2">
        <f t="shared" si="0"/>
        <v>256</v>
      </c>
      <c r="J16" s="2" t="s">
        <v>104</v>
      </c>
      <c r="K16" s="2" t="s">
        <v>19</v>
      </c>
      <c r="L16" s="2"/>
      <c r="M16" s="2" t="s">
        <v>20</v>
      </c>
    </row>
    <row r="17" spans="1:13" ht="27" x14ac:dyDescent="0.15">
      <c r="A17" s="2" t="s">
        <v>105</v>
      </c>
      <c r="B17" s="2" t="s">
        <v>106</v>
      </c>
      <c r="C17" s="2" t="s">
        <v>107</v>
      </c>
      <c r="D17" s="2" t="s">
        <v>108</v>
      </c>
      <c r="E17" s="2" t="s">
        <v>109</v>
      </c>
      <c r="F17" s="2">
        <v>7</v>
      </c>
      <c r="G17" s="2">
        <v>5</v>
      </c>
      <c r="H17" s="2">
        <v>7</v>
      </c>
      <c r="I17" s="2">
        <f t="shared" si="0"/>
        <v>245</v>
      </c>
      <c r="J17" s="2" t="s">
        <v>110</v>
      </c>
      <c r="K17" s="2" t="s">
        <v>19</v>
      </c>
      <c r="L17" s="2"/>
      <c r="M17" s="2" t="s">
        <v>20</v>
      </c>
    </row>
  </sheetData>
  <autoFilter ref="A1:M17" xr:uid="{00000000-0009-0000-0000-000000000000}"/>
  <phoneticPr fontId="2" type="noConversion"/>
  <dataValidations count="1">
    <dataValidation type="list" allowBlank="1" sqref="M2:M17" xr:uid="{00000000-0002-0000-0000-000000000000}">
      <formula1>"待处理,进行中,已完成,已接受风险"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>
      <pane ySplit="1" topLeftCell="A2" activePane="bottomLeft" state="frozen"/>
      <selection pane="bottomLeft" activeCell="E6" sqref="E6"/>
    </sheetView>
  </sheetViews>
  <sheetFormatPr defaultRowHeight="13.5" x14ac:dyDescent="0.15"/>
  <cols>
    <col min="1" max="1" width="24" customWidth="1"/>
    <col min="2" max="2" width="34" customWidth="1"/>
    <col min="3" max="3" width="21" customWidth="1"/>
    <col min="4" max="4" width="36" customWidth="1"/>
    <col min="5" max="5" width="39" customWidth="1"/>
    <col min="6" max="8" width="10" customWidth="1"/>
    <col min="9" max="9" width="14" customWidth="1"/>
    <col min="10" max="10" width="60" customWidth="1"/>
    <col min="11" max="13" width="10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" x14ac:dyDescent="0.15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>
        <v>6</v>
      </c>
      <c r="G2" s="2">
        <v>5</v>
      </c>
      <c r="H2" s="2">
        <v>6</v>
      </c>
      <c r="I2" s="2">
        <f t="shared" ref="I2:I16" si="0">F2*G2*H2</f>
        <v>180</v>
      </c>
      <c r="J2" s="2" t="s">
        <v>116</v>
      </c>
      <c r="K2" s="2" t="s">
        <v>19</v>
      </c>
      <c r="L2" s="2"/>
      <c r="M2" s="2" t="s">
        <v>20</v>
      </c>
    </row>
    <row r="3" spans="1:13" ht="27" x14ac:dyDescent="0.1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>
        <v>4</v>
      </c>
      <c r="G3" s="2">
        <v>6</v>
      </c>
      <c r="H3" s="2">
        <v>5</v>
      </c>
      <c r="I3" s="2">
        <f t="shared" si="0"/>
        <v>120</v>
      </c>
      <c r="J3" s="2" t="s">
        <v>122</v>
      </c>
      <c r="K3" s="2" t="s">
        <v>19</v>
      </c>
      <c r="L3" s="2"/>
      <c r="M3" s="2" t="s">
        <v>20</v>
      </c>
    </row>
    <row r="4" spans="1:13" ht="27" x14ac:dyDescent="0.15">
      <c r="A4" s="2" t="s">
        <v>123</v>
      </c>
      <c r="B4" s="2" t="s">
        <v>124</v>
      </c>
      <c r="C4" s="2" t="s">
        <v>125</v>
      </c>
      <c r="D4" s="2" t="s">
        <v>126</v>
      </c>
      <c r="E4" s="2" t="s">
        <v>127</v>
      </c>
      <c r="F4" s="2">
        <v>6</v>
      </c>
      <c r="G4" s="2">
        <v>4</v>
      </c>
      <c r="H4" s="2">
        <v>6</v>
      </c>
      <c r="I4" s="2">
        <f t="shared" si="0"/>
        <v>144</v>
      </c>
      <c r="J4" s="2" t="s">
        <v>128</v>
      </c>
      <c r="K4" s="2" t="s">
        <v>19</v>
      </c>
      <c r="L4" s="2"/>
      <c r="M4" s="2" t="s">
        <v>20</v>
      </c>
    </row>
    <row r="5" spans="1:13" ht="27" x14ac:dyDescent="0.15">
      <c r="A5" s="2" t="s">
        <v>129</v>
      </c>
      <c r="B5" s="2" t="s">
        <v>130</v>
      </c>
      <c r="C5" s="2" t="s">
        <v>131</v>
      </c>
      <c r="D5" s="2" t="s">
        <v>132</v>
      </c>
      <c r="E5" s="2" t="s">
        <v>133</v>
      </c>
      <c r="F5" s="2">
        <v>5</v>
      </c>
      <c r="G5" s="2">
        <v>6</v>
      </c>
      <c r="H5" s="2">
        <v>4</v>
      </c>
      <c r="I5" s="2">
        <f t="shared" si="0"/>
        <v>120</v>
      </c>
      <c r="J5" s="2" t="s">
        <v>134</v>
      </c>
      <c r="K5" s="2" t="s">
        <v>19</v>
      </c>
      <c r="L5" s="2"/>
      <c r="M5" s="2" t="s">
        <v>20</v>
      </c>
    </row>
    <row r="6" spans="1:13" ht="27" x14ac:dyDescent="0.15">
      <c r="A6" s="2" t="s">
        <v>135</v>
      </c>
      <c r="B6" s="2" t="s">
        <v>136</v>
      </c>
      <c r="C6" s="2" t="s">
        <v>137</v>
      </c>
      <c r="D6" s="2" t="s">
        <v>138</v>
      </c>
      <c r="E6" s="2" t="s">
        <v>139</v>
      </c>
      <c r="F6" s="2">
        <v>5</v>
      </c>
      <c r="G6" s="2">
        <v>6</v>
      </c>
      <c r="H6" s="2">
        <v>6</v>
      </c>
      <c r="I6" s="2">
        <f t="shared" si="0"/>
        <v>180</v>
      </c>
      <c r="J6" s="2" t="s">
        <v>140</v>
      </c>
      <c r="K6" s="2" t="s">
        <v>19</v>
      </c>
      <c r="L6" s="2"/>
      <c r="M6" s="2" t="s">
        <v>20</v>
      </c>
    </row>
    <row r="7" spans="1:13" ht="27" x14ac:dyDescent="0.15">
      <c r="A7" s="2" t="s">
        <v>141</v>
      </c>
      <c r="B7" s="2" t="s">
        <v>142</v>
      </c>
      <c r="C7" s="2" t="s">
        <v>143</v>
      </c>
      <c r="D7" s="2" t="s">
        <v>144</v>
      </c>
      <c r="E7" s="2" t="s">
        <v>145</v>
      </c>
      <c r="F7" s="2">
        <v>4</v>
      </c>
      <c r="G7" s="2">
        <v>6</v>
      </c>
      <c r="H7" s="2">
        <v>5</v>
      </c>
      <c r="I7" s="2">
        <f t="shared" si="0"/>
        <v>120</v>
      </c>
      <c r="J7" s="2" t="s">
        <v>146</v>
      </c>
      <c r="K7" s="2" t="s">
        <v>19</v>
      </c>
      <c r="L7" s="2"/>
      <c r="M7" s="2" t="s">
        <v>20</v>
      </c>
    </row>
    <row r="8" spans="1:13" ht="27" x14ac:dyDescent="0.15">
      <c r="A8" s="2" t="s">
        <v>147</v>
      </c>
      <c r="B8" s="2" t="s">
        <v>148</v>
      </c>
      <c r="C8" s="2" t="s">
        <v>149</v>
      </c>
      <c r="D8" s="2" t="s">
        <v>150</v>
      </c>
      <c r="E8" s="2" t="s">
        <v>151</v>
      </c>
      <c r="F8" s="2">
        <v>4</v>
      </c>
      <c r="G8" s="2">
        <v>7</v>
      </c>
      <c r="H8" s="2">
        <v>4</v>
      </c>
      <c r="I8" s="2">
        <f t="shared" si="0"/>
        <v>112</v>
      </c>
      <c r="J8" s="2" t="s">
        <v>152</v>
      </c>
      <c r="K8" s="2" t="s">
        <v>19</v>
      </c>
      <c r="L8" s="2"/>
      <c r="M8" s="2" t="s">
        <v>20</v>
      </c>
    </row>
    <row r="9" spans="1:13" ht="27" x14ac:dyDescent="0.15">
      <c r="A9" s="2" t="s">
        <v>153</v>
      </c>
      <c r="B9" s="2" t="s">
        <v>154</v>
      </c>
      <c r="C9" s="2" t="s">
        <v>155</v>
      </c>
      <c r="D9" s="2" t="s">
        <v>156</v>
      </c>
      <c r="E9" s="2" t="s">
        <v>157</v>
      </c>
      <c r="F9" s="2">
        <v>3</v>
      </c>
      <c r="G9" s="2">
        <v>6</v>
      </c>
      <c r="H9" s="2">
        <v>3</v>
      </c>
      <c r="I9" s="2">
        <f t="shared" si="0"/>
        <v>54</v>
      </c>
      <c r="J9" s="2" t="s">
        <v>158</v>
      </c>
      <c r="K9" s="2" t="s">
        <v>19</v>
      </c>
      <c r="L9" s="2"/>
      <c r="M9" s="2" t="s">
        <v>20</v>
      </c>
    </row>
    <row r="10" spans="1:13" ht="27" x14ac:dyDescent="0.15">
      <c r="A10" s="2" t="s">
        <v>159</v>
      </c>
      <c r="B10" s="2" t="s">
        <v>160</v>
      </c>
      <c r="C10" s="2" t="s">
        <v>161</v>
      </c>
      <c r="D10" s="2" t="s">
        <v>162</v>
      </c>
      <c r="E10" s="2" t="s">
        <v>163</v>
      </c>
      <c r="F10" s="2">
        <v>3</v>
      </c>
      <c r="G10" s="2">
        <v>5</v>
      </c>
      <c r="H10" s="2">
        <v>4</v>
      </c>
      <c r="I10" s="2">
        <f t="shared" si="0"/>
        <v>60</v>
      </c>
      <c r="J10" s="2" t="s">
        <v>164</v>
      </c>
      <c r="K10" s="2" t="s">
        <v>19</v>
      </c>
      <c r="L10" s="2"/>
      <c r="M10" s="2" t="s">
        <v>20</v>
      </c>
    </row>
    <row r="11" spans="1:13" ht="27" x14ac:dyDescent="0.15">
      <c r="A11" s="2" t="s">
        <v>165</v>
      </c>
      <c r="B11" s="2" t="s">
        <v>166</v>
      </c>
      <c r="C11" s="2" t="s">
        <v>167</v>
      </c>
      <c r="D11" s="2" t="s">
        <v>168</v>
      </c>
      <c r="E11" s="2" t="s">
        <v>169</v>
      </c>
      <c r="F11" s="2">
        <v>3</v>
      </c>
      <c r="G11" s="2">
        <v>6</v>
      </c>
      <c r="H11" s="2">
        <v>6</v>
      </c>
      <c r="I11" s="2">
        <f t="shared" si="0"/>
        <v>108</v>
      </c>
      <c r="J11" s="2" t="s">
        <v>170</v>
      </c>
      <c r="K11" s="2" t="s">
        <v>19</v>
      </c>
      <c r="L11" s="2"/>
      <c r="M11" s="2" t="s">
        <v>20</v>
      </c>
    </row>
    <row r="12" spans="1:13" ht="27" x14ac:dyDescent="0.15">
      <c r="A12" s="2" t="s">
        <v>171</v>
      </c>
      <c r="B12" s="2" t="s">
        <v>172</v>
      </c>
      <c r="C12" s="2" t="s">
        <v>173</v>
      </c>
      <c r="D12" s="2" t="s">
        <v>174</v>
      </c>
      <c r="E12" s="2" t="s">
        <v>175</v>
      </c>
      <c r="F12" s="2">
        <v>5</v>
      </c>
      <c r="G12" s="2">
        <v>4</v>
      </c>
      <c r="H12" s="2">
        <v>6</v>
      </c>
      <c r="I12" s="2">
        <f t="shared" si="0"/>
        <v>120</v>
      </c>
      <c r="J12" s="2" t="s">
        <v>176</v>
      </c>
      <c r="K12" s="2" t="s">
        <v>19</v>
      </c>
      <c r="L12" s="2"/>
      <c r="M12" s="2" t="s">
        <v>20</v>
      </c>
    </row>
    <row r="13" spans="1:13" ht="27" x14ac:dyDescent="0.15">
      <c r="A13" s="2" t="s">
        <v>177</v>
      </c>
      <c r="B13" s="2" t="s">
        <v>178</v>
      </c>
      <c r="C13" s="2" t="s">
        <v>179</v>
      </c>
      <c r="D13" s="2" t="s">
        <v>180</v>
      </c>
      <c r="E13" s="2" t="s">
        <v>181</v>
      </c>
      <c r="F13" s="2">
        <v>2</v>
      </c>
      <c r="G13" s="2">
        <v>6</v>
      </c>
      <c r="H13" s="2">
        <v>7</v>
      </c>
      <c r="I13" s="2">
        <f t="shared" si="0"/>
        <v>84</v>
      </c>
      <c r="J13" s="2" t="s">
        <v>182</v>
      </c>
      <c r="K13" s="2" t="s">
        <v>19</v>
      </c>
      <c r="L13" s="2"/>
      <c r="M13" s="2" t="s">
        <v>20</v>
      </c>
    </row>
    <row r="14" spans="1:13" ht="27" x14ac:dyDescent="0.15">
      <c r="A14" s="2" t="s">
        <v>183</v>
      </c>
      <c r="B14" s="2" t="s">
        <v>184</v>
      </c>
      <c r="C14" s="2" t="s">
        <v>185</v>
      </c>
      <c r="D14" s="2" t="s">
        <v>186</v>
      </c>
      <c r="E14" s="2" t="s">
        <v>187</v>
      </c>
      <c r="F14" s="2">
        <v>4</v>
      </c>
      <c r="G14" s="2">
        <v>5</v>
      </c>
      <c r="H14" s="2">
        <v>6</v>
      </c>
      <c r="I14" s="2">
        <f t="shared" si="0"/>
        <v>120</v>
      </c>
      <c r="J14" s="2" t="s">
        <v>188</v>
      </c>
      <c r="K14" s="2" t="s">
        <v>19</v>
      </c>
      <c r="L14" s="2"/>
      <c r="M14" s="2" t="s">
        <v>20</v>
      </c>
    </row>
    <row r="15" spans="1:13" ht="27" x14ac:dyDescent="0.15">
      <c r="A15" s="2" t="s">
        <v>189</v>
      </c>
      <c r="B15" s="2" t="s">
        <v>190</v>
      </c>
      <c r="C15" s="2" t="s">
        <v>191</v>
      </c>
      <c r="D15" s="2" t="s">
        <v>192</v>
      </c>
      <c r="E15" s="2" t="s">
        <v>193</v>
      </c>
      <c r="F15" s="2">
        <v>4</v>
      </c>
      <c r="G15" s="2">
        <v>4</v>
      </c>
      <c r="H15" s="2">
        <v>6</v>
      </c>
      <c r="I15" s="2">
        <f t="shared" si="0"/>
        <v>96</v>
      </c>
      <c r="J15" s="2" t="s">
        <v>194</v>
      </c>
      <c r="K15" s="2" t="s">
        <v>19</v>
      </c>
      <c r="L15" s="2"/>
      <c r="M15" s="2" t="s">
        <v>20</v>
      </c>
    </row>
    <row r="16" spans="1:13" ht="27" x14ac:dyDescent="0.15">
      <c r="A16" s="2" t="s">
        <v>195</v>
      </c>
      <c r="B16" s="2" t="s">
        <v>196</v>
      </c>
      <c r="C16" s="2" t="s">
        <v>197</v>
      </c>
      <c r="D16" s="2" t="s">
        <v>198</v>
      </c>
      <c r="E16" s="2" t="s">
        <v>199</v>
      </c>
      <c r="F16" s="2">
        <v>4</v>
      </c>
      <c r="G16" s="2">
        <v>6</v>
      </c>
      <c r="H16" s="2">
        <v>5</v>
      </c>
      <c r="I16" s="2">
        <f t="shared" si="0"/>
        <v>120</v>
      </c>
      <c r="J16" s="2" t="s">
        <v>200</v>
      </c>
      <c r="K16" s="2" t="s">
        <v>19</v>
      </c>
      <c r="L16" s="2"/>
      <c r="M16" s="2" t="s">
        <v>20</v>
      </c>
    </row>
  </sheetData>
  <autoFilter ref="A1:M16" xr:uid="{00000000-0009-0000-0000-000001000000}"/>
  <phoneticPr fontId="2" type="noConversion"/>
  <dataValidations count="1">
    <dataValidation type="list" allowBlank="1" sqref="M2:M16" xr:uid="{00000000-0002-0000-0100-000000000000}">
      <formula1>"待处理,进行中,已完成,已接受风险"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6" customWidth="1"/>
    <col min="2" max="2" width="41" customWidth="1"/>
    <col min="3" max="3" width="14" customWidth="1"/>
    <col min="4" max="5" width="33" customWidth="1"/>
    <col min="6" max="8" width="10" customWidth="1"/>
    <col min="9" max="9" width="14" customWidth="1"/>
    <col min="10" max="10" width="55" customWidth="1"/>
    <col min="11" max="13" width="10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" x14ac:dyDescent="0.15">
      <c r="A2" s="2" t="s">
        <v>201</v>
      </c>
      <c r="B2" s="2" t="s">
        <v>202</v>
      </c>
      <c r="C2" s="2" t="s">
        <v>203</v>
      </c>
      <c r="D2" s="2" t="s">
        <v>204</v>
      </c>
      <c r="E2" s="2" t="s">
        <v>205</v>
      </c>
      <c r="F2" s="2">
        <v>7</v>
      </c>
      <c r="G2" s="2">
        <v>5</v>
      </c>
      <c r="H2" s="2">
        <v>7</v>
      </c>
      <c r="I2" s="2">
        <f t="shared" ref="I2:I16" si="0">F2*G2*H2</f>
        <v>245</v>
      </c>
      <c r="J2" s="2" t="s">
        <v>206</v>
      </c>
      <c r="K2" s="2" t="s">
        <v>19</v>
      </c>
      <c r="L2" s="2"/>
      <c r="M2" s="2" t="s">
        <v>20</v>
      </c>
    </row>
    <row r="3" spans="1:13" ht="27" x14ac:dyDescent="0.15">
      <c r="A3" s="2" t="s">
        <v>207</v>
      </c>
      <c r="B3" s="2" t="s">
        <v>208</v>
      </c>
      <c r="C3" s="2" t="s">
        <v>209</v>
      </c>
      <c r="D3" s="2" t="s">
        <v>210</v>
      </c>
      <c r="E3" s="2" t="s">
        <v>211</v>
      </c>
      <c r="F3" s="2">
        <v>6</v>
      </c>
      <c r="G3" s="2">
        <v>4</v>
      </c>
      <c r="H3" s="2">
        <v>7</v>
      </c>
      <c r="I3" s="2">
        <f t="shared" si="0"/>
        <v>168</v>
      </c>
      <c r="J3" s="2" t="s">
        <v>212</v>
      </c>
      <c r="K3" s="2" t="s">
        <v>19</v>
      </c>
      <c r="L3" s="2"/>
      <c r="M3" s="2" t="s">
        <v>20</v>
      </c>
    </row>
    <row r="4" spans="1:13" ht="27" x14ac:dyDescent="0.15">
      <c r="A4" s="2" t="s">
        <v>213</v>
      </c>
      <c r="B4" s="2" t="s">
        <v>214</v>
      </c>
      <c r="C4" s="2" t="s">
        <v>215</v>
      </c>
      <c r="D4" s="2" t="s">
        <v>216</v>
      </c>
      <c r="E4" s="2" t="s">
        <v>217</v>
      </c>
      <c r="F4" s="2">
        <v>5</v>
      </c>
      <c r="G4" s="2">
        <v>5</v>
      </c>
      <c r="H4" s="2">
        <v>5</v>
      </c>
      <c r="I4" s="2">
        <f t="shared" si="0"/>
        <v>125</v>
      </c>
      <c r="J4" s="2" t="s">
        <v>218</v>
      </c>
      <c r="K4" s="2" t="s">
        <v>19</v>
      </c>
      <c r="L4" s="2"/>
      <c r="M4" s="2" t="s">
        <v>20</v>
      </c>
    </row>
    <row r="5" spans="1:13" ht="27" x14ac:dyDescent="0.15">
      <c r="A5" s="2" t="s">
        <v>219</v>
      </c>
      <c r="B5" s="2" t="s">
        <v>220</v>
      </c>
      <c r="C5" s="2" t="s">
        <v>221</v>
      </c>
      <c r="D5" s="2" t="s">
        <v>222</v>
      </c>
      <c r="E5" s="2" t="s">
        <v>223</v>
      </c>
      <c r="F5" s="2">
        <v>6</v>
      </c>
      <c r="G5" s="2">
        <v>4</v>
      </c>
      <c r="H5" s="2">
        <v>6</v>
      </c>
      <c r="I5" s="2">
        <f t="shared" si="0"/>
        <v>144</v>
      </c>
      <c r="J5" s="2" t="s">
        <v>224</v>
      </c>
      <c r="K5" s="2" t="s">
        <v>19</v>
      </c>
      <c r="L5" s="2"/>
      <c r="M5" s="2" t="s">
        <v>20</v>
      </c>
    </row>
    <row r="6" spans="1:13" x14ac:dyDescent="0.15">
      <c r="A6" s="2" t="s">
        <v>225</v>
      </c>
      <c r="B6" s="2" t="s">
        <v>226</v>
      </c>
      <c r="C6" s="2" t="s">
        <v>227</v>
      </c>
      <c r="D6" s="2" t="s">
        <v>228</v>
      </c>
      <c r="E6" s="2" t="s">
        <v>229</v>
      </c>
      <c r="F6" s="2">
        <v>3</v>
      </c>
      <c r="G6" s="2">
        <v>4</v>
      </c>
      <c r="H6" s="2">
        <v>6</v>
      </c>
      <c r="I6" s="2">
        <f t="shared" si="0"/>
        <v>72</v>
      </c>
      <c r="J6" s="2" t="s">
        <v>230</v>
      </c>
      <c r="K6" s="2" t="s">
        <v>19</v>
      </c>
      <c r="L6" s="2"/>
      <c r="M6" s="2" t="s">
        <v>20</v>
      </c>
    </row>
    <row r="7" spans="1:13" ht="27" x14ac:dyDescent="0.15">
      <c r="A7" s="2" t="s">
        <v>231</v>
      </c>
      <c r="B7" s="2" t="s">
        <v>232</v>
      </c>
      <c r="C7" s="2" t="s">
        <v>233</v>
      </c>
      <c r="D7" s="2" t="s">
        <v>234</v>
      </c>
      <c r="E7" s="2" t="s">
        <v>235</v>
      </c>
      <c r="F7" s="2">
        <v>6</v>
      </c>
      <c r="G7" s="2">
        <v>5</v>
      </c>
      <c r="H7" s="2">
        <v>4</v>
      </c>
      <c r="I7" s="2">
        <f t="shared" si="0"/>
        <v>120</v>
      </c>
      <c r="J7" s="2" t="s">
        <v>236</v>
      </c>
      <c r="K7" s="2" t="s">
        <v>19</v>
      </c>
      <c r="L7" s="2"/>
      <c r="M7" s="2" t="s">
        <v>20</v>
      </c>
    </row>
    <row r="8" spans="1:13" ht="27" x14ac:dyDescent="0.15">
      <c r="A8" s="2" t="s">
        <v>237</v>
      </c>
      <c r="B8" s="2" t="s">
        <v>238</v>
      </c>
      <c r="C8" s="2" t="s">
        <v>239</v>
      </c>
      <c r="D8" s="2" t="s">
        <v>240</v>
      </c>
      <c r="E8" s="2" t="s">
        <v>241</v>
      </c>
      <c r="F8" s="2">
        <v>5</v>
      </c>
      <c r="G8" s="2">
        <v>6</v>
      </c>
      <c r="H8" s="2">
        <v>5</v>
      </c>
      <c r="I8" s="2">
        <f t="shared" si="0"/>
        <v>150</v>
      </c>
      <c r="J8" s="2" t="s">
        <v>242</v>
      </c>
      <c r="K8" s="2" t="s">
        <v>19</v>
      </c>
      <c r="L8" s="2"/>
      <c r="M8" s="2" t="s">
        <v>20</v>
      </c>
    </row>
    <row r="9" spans="1:13" ht="27" x14ac:dyDescent="0.15">
      <c r="A9" s="2" t="s">
        <v>243</v>
      </c>
      <c r="B9" s="2" t="s">
        <v>244</v>
      </c>
      <c r="C9" s="2" t="s">
        <v>245</v>
      </c>
      <c r="D9" s="2" t="s">
        <v>246</v>
      </c>
      <c r="E9" s="2" t="s">
        <v>247</v>
      </c>
      <c r="F9" s="2">
        <v>6</v>
      </c>
      <c r="G9" s="2">
        <v>4</v>
      </c>
      <c r="H9" s="2">
        <v>7</v>
      </c>
      <c r="I9" s="2">
        <f t="shared" si="0"/>
        <v>168</v>
      </c>
      <c r="J9" s="2" t="s">
        <v>248</v>
      </c>
      <c r="K9" s="2" t="s">
        <v>19</v>
      </c>
      <c r="L9" s="2"/>
      <c r="M9" s="2" t="s">
        <v>20</v>
      </c>
    </row>
    <row r="10" spans="1:13" ht="27" x14ac:dyDescent="0.15">
      <c r="A10" s="2" t="s">
        <v>249</v>
      </c>
      <c r="B10" s="2" t="s">
        <v>250</v>
      </c>
      <c r="C10" s="2" t="s">
        <v>251</v>
      </c>
      <c r="D10" s="2" t="s">
        <v>252</v>
      </c>
      <c r="E10" s="2" t="s">
        <v>253</v>
      </c>
      <c r="F10" s="2">
        <v>5</v>
      </c>
      <c r="G10" s="2">
        <v>4</v>
      </c>
      <c r="H10" s="2">
        <v>6</v>
      </c>
      <c r="I10" s="2">
        <f t="shared" si="0"/>
        <v>120</v>
      </c>
      <c r="J10" s="2" t="s">
        <v>254</v>
      </c>
      <c r="K10" s="2" t="s">
        <v>19</v>
      </c>
      <c r="L10" s="2"/>
      <c r="M10" s="2" t="s">
        <v>20</v>
      </c>
    </row>
    <row r="11" spans="1:13" ht="27" x14ac:dyDescent="0.15">
      <c r="A11" s="2" t="s">
        <v>255</v>
      </c>
      <c r="B11" s="2" t="s">
        <v>256</v>
      </c>
      <c r="C11" s="2" t="s">
        <v>257</v>
      </c>
      <c r="D11" s="2" t="s">
        <v>258</v>
      </c>
      <c r="E11" s="2" t="s">
        <v>259</v>
      </c>
      <c r="F11" s="2">
        <v>5</v>
      </c>
      <c r="G11" s="2">
        <v>5</v>
      </c>
      <c r="H11" s="2">
        <v>6</v>
      </c>
      <c r="I11" s="2">
        <f t="shared" si="0"/>
        <v>150</v>
      </c>
      <c r="J11" s="2" t="s">
        <v>260</v>
      </c>
      <c r="K11" s="2" t="s">
        <v>19</v>
      </c>
      <c r="L11" s="2"/>
      <c r="M11" s="2" t="s">
        <v>20</v>
      </c>
    </row>
    <row r="12" spans="1:13" ht="27" x14ac:dyDescent="0.15">
      <c r="A12" s="2" t="s">
        <v>261</v>
      </c>
      <c r="B12" s="2" t="s">
        <v>262</v>
      </c>
      <c r="C12" s="2" t="s">
        <v>263</v>
      </c>
      <c r="D12" s="2" t="s">
        <v>264</v>
      </c>
      <c r="E12" s="2" t="s">
        <v>265</v>
      </c>
      <c r="F12" s="2">
        <v>4</v>
      </c>
      <c r="G12" s="2">
        <v>6</v>
      </c>
      <c r="H12" s="2">
        <v>6</v>
      </c>
      <c r="I12" s="2">
        <f t="shared" si="0"/>
        <v>144</v>
      </c>
      <c r="J12" s="2" t="s">
        <v>266</v>
      </c>
      <c r="K12" s="2" t="s">
        <v>19</v>
      </c>
      <c r="L12" s="2"/>
      <c r="M12" s="2" t="s">
        <v>20</v>
      </c>
    </row>
    <row r="13" spans="1:13" ht="27" x14ac:dyDescent="0.15">
      <c r="A13" s="2" t="s">
        <v>267</v>
      </c>
      <c r="B13" s="2" t="s">
        <v>268</v>
      </c>
      <c r="C13" s="2" t="s">
        <v>269</v>
      </c>
      <c r="D13" s="2" t="s">
        <v>270</v>
      </c>
      <c r="E13" s="2" t="s">
        <v>271</v>
      </c>
      <c r="F13" s="2">
        <v>4</v>
      </c>
      <c r="G13" s="2">
        <v>5</v>
      </c>
      <c r="H13" s="2">
        <v>6</v>
      </c>
      <c r="I13" s="2">
        <f t="shared" si="0"/>
        <v>120</v>
      </c>
      <c r="J13" s="2" t="s">
        <v>272</v>
      </c>
      <c r="K13" s="2" t="s">
        <v>19</v>
      </c>
      <c r="L13" s="2"/>
      <c r="M13" s="2" t="s">
        <v>20</v>
      </c>
    </row>
    <row r="14" spans="1:13" ht="27" x14ac:dyDescent="0.15">
      <c r="A14" s="2" t="s">
        <v>273</v>
      </c>
      <c r="B14" s="2" t="s">
        <v>274</v>
      </c>
      <c r="C14" s="2" t="s">
        <v>275</v>
      </c>
      <c r="D14" s="2" t="s">
        <v>276</v>
      </c>
      <c r="E14" s="2" t="s">
        <v>277</v>
      </c>
      <c r="F14" s="2">
        <v>3</v>
      </c>
      <c r="G14" s="2">
        <v>5</v>
      </c>
      <c r="H14" s="2">
        <v>7</v>
      </c>
      <c r="I14" s="2">
        <f t="shared" si="0"/>
        <v>105</v>
      </c>
      <c r="J14" s="2" t="s">
        <v>278</v>
      </c>
      <c r="K14" s="2" t="s">
        <v>19</v>
      </c>
      <c r="L14" s="2"/>
      <c r="M14" s="2" t="s">
        <v>20</v>
      </c>
    </row>
    <row r="15" spans="1:13" ht="27" x14ac:dyDescent="0.15">
      <c r="A15" s="2" t="s">
        <v>279</v>
      </c>
      <c r="B15" s="2" t="s">
        <v>280</v>
      </c>
      <c r="C15" s="2" t="s">
        <v>281</v>
      </c>
      <c r="D15" s="2" t="s">
        <v>282</v>
      </c>
      <c r="E15" s="2" t="s">
        <v>283</v>
      </c>
      <c r="F15" s="2">
        <v>5</v>
      </c>
      <c r="G15" s="2">
        <v>6</v>
      </c>
      <c r="H15" s="2">
        <v>6</v>
      </c>
      <c r="I15" s="2">
        <f t="shared" si="0"/>
        <v>180</v>
      </c>
      <c r="J15" s="2" t="s">
        <v>284</v>
      </c>
      <c r="K15" s="2" t="s">
        <v>19</v>
      </c>
      <c r="L15" s="2"/>
      <c r="M15" s="2" t="s">
        <v>20</v>
      </c>
    </row>
    <row r="16" spans="1:13" ht="27" x14ac:dyDescent="0.15">
      <c r="A16" s="2" t="s">
        <v>285</v>
      </c>
      <c r="B16" s="2" t="s">
        <v>286</v>
      </c>
      <c r="C16" s="2" t="s">
        <v>287</v>
      </c>
      <c r="D16" s="2" t="s">
        <v>288</v>
      </c>
      <c r="E16" s="2" t="s">
        <v>289</v>
      </c>
      <c r="F16" s="2">
        <v>2</v>
      </c>
      <c r="G16" s="2">
        <v>6</v>
      </c>
      <c r="H16" s="2">
        <v>3</v>
      </c>
      <c r="I16" s="2">
        <f t="shared" si="0"/>
        <v>36</v>
      </c>
      <c r="J16" s="2" t="s">
        <v>290</v>
      </c>
      <c r="K16" s="2" t="s">
        <v>19</v>
      </c>
      <c r="L16" s="2"/>
      <c r="M16" s="2" t="s">
        <v>20</v>
      </c>
    </row>
  </sheetData>
  <autoFilter ref="A1:M16" xr:uid="{00000000-0009-0000-0000-000002000000}"/>
  <phoneticPr fontId="2" type="noConversion"/>
  <dataValidations count="1">
    <dataValidation type="list" allowBlank="1" sqref="M2:M16" xr:uid="{00000000-0002-0000-0200-000000000000}">
      <formula1>"待处理,进行中,已完成,已接受风险"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"/>
  <sheetViews>
    <sheetView workbookViewId="0">
      <pane ySplit="1" topLeftCell="A2" activePane="bottomLeft" state="frozen"/>
      <selection pane="bottomLeft" activeCell="E7" sqref="E7"/>
    </sheetView>
  </sheetViews>
  <sheetFormatPr defaultRowHeight="13.5" x14ac:dyDescent="0.15"/>
  <cols>
    <col min="1" max="1" width="15" customWidth="1"/>
    <col min="2" max="2" width="37" customWidth="1"/>
    <col min="3" max="3" width="14" customWidth="1"/>
    <col min="4" max="4" width="24" customWidth="1"/>
    <col min="5" max="5" width="31" customWidth="1"/>
    <col min="6" max="8" width="10" customWidth="1"/>
    <col min="9" max="9" width="14" customWidth="1"/>
    <col min="10" max="10" width="52" customWidth="1"/>
    <col min="11" max="13" width="10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" x14ac:dyDescent="0.15">
      <c r="A2" s="2" t="s">
        <v>291</v>
      </c>
      <c r="B2" s="2" t="s">
        <v>292</v>
      </c>
      <c r="C2" s="2" t="s">
        <v>293</v>
      </c>
      <c r="D2" s="2" t="s">
        <v>294</v>
      </c>
      <c r="E2" s="2" t="s">
        <v>295</v>
      </c>
      <c r="F2" s="2">
        <v>5</v>
      </c>
      <c r="G2" s="2">
        <v>6</v>
      </c>
      <c r="H2" s="2">
        <v>6</v>
      </c>
      <c r="I2" s="2">
        <f t="shared" ref="I2:I16" si="0">F2*G2*H2</f>
        <v>180</v>
      </c>
      <c r="J2" s="2" t="s">
        <v>296</v>
      </c>
      <c r="K2" s="2" t="s">
        <v>19</v>
      </c>
      <c r="L2" s="2"/>
      <c r="M2" s="2" t="s">
        <v>20</v>
      </c>
    </row>
    <row r="3" spans="1:13" ht="27" x14ac:dyDescent="0.15">
      <c r="A3" s="2" t="s">
        <v>297</v>
      </c>
      <c r="B3" s="2" t="s">
        <v>298</v>
      </c>
      <c r="C3" s="2" t="s">
        <v>299</v>
      </c>
      <c r="D3" s="2" t="s">
        <v>300</v>
      </c>
      <c r="E3" s="2" t="s">
        <v>301</v>
      </c>
      <c r="F3" s="2">
        <v>6</v>
      </c>
      <c r="G3" s="2">
        <v>4</v>
      </c>
      <c r="H3" s="2">
        <v>7</v>
      </c>
      <c r="I3" s="2">
        <f t="shared" si="0"/>
        <v>168</v>
      </c>
      <c r="J3" s="2" t="s">
        <v>302</v>
      </c>
      <c r="K3" s="2" t="s">
        <v>19</v>
      </c>
      <c r="L3" s="2"/>
      <c r="M3" s="2" t="s">
        <v>20</v>
      </c>
    </row>
    <row r="4" spans="1:13" ht="27" x14ac:dyDescent="0.15">
      <c r="A4" s="2" t="s">
        <v>303</v>
      </c>
      <c r="B4" s="2" t="s">
        <v>304</v>
      </c>
      <c r="C4" s="2" t="s">
        <v>305</v>
      </c>
      <c r="D4" s="2" t="s">
        <v>306</v>
      </c>
      <c r="E4" s="2" t="s">
        <v>223</v>
      </c>
      <c r="F4" s="2">
        <v>5</v>
      </c>
      <c r="G4" s="2">
        <v>5</v>
      </c>
      <c r="H4" s="2">
        <v>7</v>
      </c>
      <c r="I4" s="2">
        <f t="shared" si="0"/>
        <v>175</v>
      </c>
      <c r="J4" s="2" t="s">
        <v>307</v>
      </c>
      <c r="K4" s="2" t="s">
        <v>19</v>
      </c>
      <c r="L4" s="2"/>
      <c r="M4" s="2" t="s">
        <v>20</v>
      </c>
    </row>
    <row r="5" spans="1:13" ht="27" x14ac:dyDescent="0.15">
      <c r="A5" s="2" t="s">
        <v>308</v>
      </c>
      <c r="B5" s="2" t="s">
        <v>309</v>
      </c>
      <c r="C5" s="2" t="s">
        <v>310</v>
      </c>
      <c r="D5" s="2" t="s">
        <v>311</v>
      </c>
      <c r="E5" s="2" t="s">
        <v>223</v>
      </c>
      <c r="F5" s="2">
        <v>5</v>
      </c>
      <c r="G5" s="2">
        <v>4</v>
      </c>
      <c r="H5" s="2">
        <v>8</v>
      </c>
      <c r="I5" s="2">
        <f t="shared" si="0"/>
        <v>160</v>
      </c>
      <c r="J5" s="2" t="s">
        <v>312</v>
      </c>
      <c r="K5" s="2" t="s">
        <v>19</v>
      </c>
      <c r="L5" s="2"/>
      <c r="M5" s="2" t="s">
        <v>20</v>
      </c>
    </row>
    <row r="6" spans="1:13" ht="27" x14ac:dyDescent="0.15">
      <c r="A6" s="2" t="s">
        <v>313</v>
      </c>
      <c r="B6" s="2" t="s">
        <v>314</v>
      </c>
      <c r="C6" s="2" t="s">
        <v>315</v>
      </c>
      <c r="D6" s="2" t="s">
        <v>316</v>
      </c>
      <c r="E6" s="2" t="s">
        <v>223</v>
      </c>
      <c r="F6" s="2">
        <v>7</v>
      </c>
      <c r="G6" s="2">
        <v>3</v>
      </c>
      <c r="H6" s="2">
        <v>8</v>
      </c>
      <c r="I6" s="2">
        <f t="shared" si="0"/>
        <v>168</v>
      </c>
      <c r="J6" s="2" t="s">
        <v>317</v>
      </c>
      <c r="K6" s="2" t="s">
        <v>19</v>
      </c>
      <c r="L6" s="2"/>
      <c r="M6" s="2" t="s">
        <v>20</v>
      </c>
    </row>
    <row r="7" spans="1:13" ht="27" x14ac:dyDescent="0.15">
      <c r="A7" s="2" t="s">
        <v>318</v>
      </c>
      <c r="B7" s="2" t="s">
        <v>319</v>
      </c>
      <c r="C7" s="2" t="s">
        <v>287</v>
      </c>
      <c r="D7" s="2" t="s">
        <v>320</v>
      </c>
      <c r="E7" s="2" t="s">
        <v>223</v>
      </c>
      <c r="F7" s="2">
        <v>3</v>
      </c>
      <c r="G7" s="2">
        <v>5</v>
      </c>
      <c r="H7" s="2">
        <v>6</v>
      </c>
      <c r="I7" s="2">
        <f t="shared" si="0"/>
        <v>90</v>
      </c>
      <c r="J7" s="2" t="s">
        <v>321</v>
      </c>
      <c r="K7" s="2" t="s">
        <v>19</v>
      </c>
      <c r="L7" s="2"/>
      <c r="M7" s="2" t="s">
        <v>20</v>
      </c>
    </row>
    <row r="8" spans="1:13" ht="27" x14ac:dyDescent="0.15">
      <c r="A8" s="2" t="s">
        <v>322</v>
      </c>
      <c r="B8" s="2" t="s">
        <v>323</v>
      </c>
      <c r="C8" s="2" t="s">
        <v>324</v>
      </c>
      <c r="D8" s="2" t="s">
        <v>325</v>
      </c>
      <c r="E8" s="2" t="s">
        <v>223</v>
      </c>
      <c r="F8" s="2">
        <v>8</v>
      </c>
      <c r="G8" s="2">
        <v>3</v>
      </c>
      <c r="H8" s="2">
        <v>7</v>
      </c>
      <c r="I8" s="2">
        <f t="shared" si="0"/>
        <v>168</v>
      </c>
      <c r="J8" s="2" t="s">
        <v>326</v>
      </c>
      <c r="K8" s="2" t="s">
        <v>19</v>
      </c>
      <c r="L8" s="2"/>
      <c r="M8" s="2" t="s">
        <v>20</v>
      </c>
    </row>
    <row r="9" spans="1:13" ht="27" x14ac:dyDescent="0.15">
      <c r="A9" s="2" t="s">
        <v>327</v>
      </c>
      <c r="B9" s="2" t="s">
        <v>328</v>
      </c>
      <c r="C9" s="2" t="s">
        <v>329</v>
      </c>
      <c r="D9" s="2" t="s">
        <v>330</v>
      </c>
      <c r="E9" s="2" t="s">
        <v>223</v>
      </c>
      <c r="F9" s="2">
        <v>7</v>
      </c>
      <c r="G9" s="2">
        <v>3</v>
      </c>
      <c r="H9" s="2">
        <v>8</v>
      </c>
      <c r="I9" s="2">
        <f t="shared" si="0"/>
        <v>168</v>
      </c>
      <c r="J9" s="2" t="s">
        <v>331</v>
      </c>
      <c r="K9" s="2" t="s">
        <v>19</v>
      </c>
      <c r="L9" s="2"/>
      <c r="M9" s="2" t="s">
        <v>20</v>
      </c>
    </row>
    <row r="10" spans="1:13" ht="27" x14ac:dyDescent="0.15">
      <c r="A10" s="2" t="s">
        <v>332</v>
      </c>
      <c r="B10" s="2" t="s">
        <v>333</v>
      </c>
      <c r="C10" s="2" t="s">
        <v>334</v>
      </c>
      <c r="D10" s="2" t="s">
        <v>335</v>
      </c>
      <c r="E10" s="2" t="s">
        <v>336</v>
      </c>
      <c r="F10" s="2">
        <v>4</v>
      </c>
      <c r="G10" s="2">
        <v>7</v>
      </c>
      <c r="H10" s="2">
        <v>6</v>
      </c>
      <c r="I10" s="2">
        <f t="shared" si="0"/>
        <v>168</v>
      </c>
      <c r="J10" s="2" t="s">
        <v>337</v>
      </c>
      <c r="K10" s="2" t="s">
        <v>19</v>
      </c>
      <c r="L10" s="2"/>
      <c r="M10" s="2" t="s">
        <v>20</v>
      </c>
    </row>
    <row r="11" spans="1:13" ht="27" x14ac:dyDescent="0.15">
      <c r="A11" s="2" t="s">
        <v>338</v>
      </c>
      <c r="B11" s="2" t="s">
        <v>339</v>
      </c>
      <c r="C11" s="2" t="s">
        <v>340</v>
      </c>
      <c r="D11" s="2" t="s">
        <v>341</v>
      </c>
      <c r="E11" s="2" t="s">
        <v>342</v>
      </c>
      <c r="F11" s="2">
        <v>6</v>
      </c>
      <c r="G11" s="2">
        <v>5</v>
      </c>
      <c r="H11" s="2">
        <v>7</v>
      </c>
      <c r="I11" s="2">
        <f t="shared" si="0"/>
        <v>210</v>
      </c>
      <c r="J11" s="2" t="s">
        <v>343</v>
      </c>
      <c r="K11" s="2" t="s">
        <v>19</v>
      </c>
      <c r="L11" s="2"/>
      <c r="M11" s="2" t="s">
        <v>20</v>
      </c>
    </row>
    <row r="12" spans="1:13" ht="27" x14ac:dyDescent="0.15">
      <c r="A12" s="2" t="s">
        <v>344</v>
      </c>
      <c r="B12" s="2" t="s">
        <v>345</v>
      </c>
      <c r="C12" s="2" t="s">
        <v>346</v>
      </c>
      <c r="D12" s="2" t="s">
        <v>347</v>
      </c>
      <c r="E12" s="2" t="s">
        <v>223</v>
      </c>
      <c r="F12" s="2">
        <v>4</v>
      </c>
      <c r="G12" s="2">
        <v>4</v>
      </c>
      <c r="H12" s="2">
        <v>7</v>
      </c>
      <c r="I12" s="2">
        <f t="shared" si="0"/>
        <v>112</v>
      </c>
      <c r="J12" s="2" t="s">
        <v>348</v>
      </c>
      <c r="K12" s="2" t="s">
        <v>19</v>
      </c>
      <c r="L12" s="2"/>
      <c r="M12" s="2" t="s">
        <v>20</v>
      </c>
    </row>
    <row r="13" spans="1:13" ht="27" x14ac:dyDescent="0.15">
      <c r="A13" s="2" t="s">
        <v>349</v>
      </c>
      <c r="B13" s="2" t="s">
        <v>350</v>
      </c>
      <c r="C13" s="2" t="s">
        <v>351</v>
      </c>
      <c r="D13" s="2" t="s">
        <v>352</v>
      </c>
      <c r="E13" s="2" t="s">
        <v>223</v>
      </c>
      <c r="F13" s="2">
        <v>5</v>
      </c>
      <c r="G13" s="2">
        <v>5</v>
      </c>
      <c r="H13" s="2">
        <v>7</v>
      </c>
      <c r="I13" s="2">
        <f t="shared" si="0"/>
        <v>175</v>
      </c>
      <c r="J13" s="2" t="s">
        <v>353</v>
      </c>
      <c r="K13" s="2" t="s">
        <v>19</v>
      </c>
      <c r="L13" s="2"/>
      <c r="M13" s="2" t="s">
        <v>20</v>
      </c>
    </row>
    <row r="14" spans="1:13" ht="27" x14ac:dyDescent="0.15">
      <c r="A14" s="2" t="s">
        <v>354</v>
      </c>
      <c r="B14" s="2" t="s">
        <v>355</v>
      </c>
      <c r="C14" s="2" t="s">
        <v>356</v>
      </c>
      <c r="D14" s="2" t="s">
        <v>357</v>
      </c>
      <c r="E14" s="2" t="s">
        <v>223</v>
      </c>
      <c r="F14" s="2">
        <v>6</v>
      </c>
      <c r="G14" s="2">
        <v>3</v>
      </c>
      <c r="H14" s="2">
        <v>8</v>
      </c>
      <c r="I14" s="2">
        <f t="shared" si="0"/>
        <v>144</v>
      </c>
      <c r="J14" s="2" t="s">
        <v>358</v>
      </c>
      <c r="K14" s="2" t="s">
        <v>19</v>
      </c>
      <c r="L14" s="2"/>
      <c r="M14" s="2" t="s">
        <v>20</v>
      </c>
    </row>
    <row r="15" spans="1:13" ht="27" x14ac:dyDescent="0.15">
      <c r="A15" s="2" t="s">
        <v>359</v>
      </c>
      <c r="B15" s="2" t="s">
        <v>360</v>
      </c>
      <c r="C15" s="2" t="s">
        <v>361</v>
      </c>
      <c r="D15" s="2" t="s">
        <v>362</v>
      </c>
      <c r="E15" s="2" t="s">
        <v>223</v>
      </c>
      <c r="F15" s="2">
        <v>5</v>
      </c>
      <c r="G15" s="2">
        <v>5</v>
      </c>
      <c r="H15" s="2">
        <v>6</v>
      </c>
      <c r="I15" s="2">
        <f t="shared" si="0"/>
        <v>150</v>
      </c>
      <c r="J15" s="2" t="s">
        <v>363</v>
      </c>
      <c r="K15" s="2" t="s">
        <v>19</v>
      </c>
      <c r="L15" s="2"/>
      <c r="M15" s="2" t="s">
        <v>20</v>
      </c>
    </row>
    <row r="16" spans="1:13" x14ac:dyDescent="0.15">
      <c r="A16" s="2" t="s">
        <v>364</v>
      </c>
      <c r="B16" s="2" t="s">
        <v>365</v>
      </c>
      <c r="C16" s="2" t="s">
        <v>366</v>
      </c>
      <c r="D16" s="2" t="s">
        <v>367</v>
      </c>
      <c r="E16" s="2" t="s">
        <v>368</v>
      </c>
      <c r="F16" s="2">
        <v>4</v>
      </c>
      <c r="G16" s="2">
        <v>6</v>
      </c>
      <c r="H16" s="2">
        <v>7</v>
      </c>
      <c r="I16" s="2">
        <f t="shared" si="0"/>
        <v>168</v>
      </c>
      <c r="J16" s="2" t="s">
        <v>369</v>
      </c>
      <c r="K16" s="2" t="s">
        <v>19</v>
      </c>
      <c r="L16" s="2"/>
      <c r="M16" s="2" t="s">
        <v>20</v>
      </c>
    </row>
  </sheetData>
  <autoFilter ref="A1:M16" xr:uid="{00000000-0009-0000-0000-000003000000}"/>
  <phoneticPr fontId="2" type="noConversion"/>
  <dataValidations count="1">
    <dataValidation type="list" allowBlank="1" sqref="M2:M16" xr:uid="{00000000-0002-0000-0300-000000000000}">
      <formula1>"待处理,进行中,已完成,已接受风险"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DFMEA_report</vt:lpstr>
      <vt:lpstr>算法</vt:lpstr>
      <vt:lpstr>UI</vt:lpstr>
      <vt:lpstr>软件后台</vt:lpstr>
      <vt:lpstr>数据库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2026-01-15T01:33:25Z</dcterms:created>
  <dcterms:modified xsi:type="dcterms:W3CDTF">2026-01-15T01:57:08Z</dcterms:modified>
</cp:coreProperties>
</file>